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 activeTab="1"/>
  </bookViews>
  <sheets>
    <sheet name="7.13" sheetId="1" r:id="rId1"/>
    <sheet name="Sheet2" sheetId="2" r:id="rId2"/>
    <sheet name="7.21" sheetId="3" r:id="rId3"/>
    <sheet name="Sheet1" sheetId="4" r:id="rId4"/>
    <sheet name="7.27" sheetId="5" r:id="rId5"/>
    <sheet name="Sheet4" sheetId="6" r:id="rId6"/>
    <sheet name="7.31" sheetId="7" r:id="rId7"/>
    <sheet name="Sheet5" sheetId="8" r:id="rId8"/>
    <sheet name="8.1" sheetId="9" r:id="rId9"/>
    <sheet name="Sheet7" sheetId="10" r:id="rId10"/>
    <sheet name="8.3" sheetId="11" r:id="rId11"/>
    <sheet name="Sheet9" sheetId="12" r:id="rId12"/>
    <sheet name="8.10" sheetId="13" r:id="rId13"/>
    <sheet name="Sheet6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<sst xmlns="http://schemas.openxmlformats.org/spreadsheetml/2006/main" count="226" uniqueCount="36">
  <si>
    <t>取样时间：</t>
  </si>
  <si>
    <t>2026.7.13</t>
  </si>
  <si>
    <t>取样地点：</t>
  </si>
  <si>
    <t>浦东新区张家浜</t>
  </si>
  <si>
    <t>指标名称</t>
  </si>
  <si>
    <t>指标值</t>
  </si>
  <si>
    <t>误差</t>
  </si>
  <si>
    <t>透明度（m）</t>
  </si>
  <si>
    <t>浊度（NTU）</t>
  </si>
  <si>
    <t>温度（℃）</t>
  </si>
  <si>
    <t>pH</t>
  </si>
  <si>
    <t>ORP（mV）</t>
  </si>
  <si>
    <t>DO（mg/L）</t>
  </si>
  <si>
    <t>EC(us/cm)</t>
  </si>
  <si>
    <t>chl-a(mg/L)</t>
  </si>
  <si>
    <t>chl-b(mg/L)</t>
  </si>
  <si>
    <t>透明度</t>
  </si>
  <si>
    <t>浊度</t>
  </si>
  <si>
    <t>温度</t>
  </si>
  <si>
    <t>ORP</t>
  </si>
  <si>
    <t>DO</t>
  </si>
  <si>
    <t>EC</t>
  </si>
  <si>
    <t>A633</t>
  </si>
  <si>
    <t>A645</t>
  </si>
  <si>
    <t>A470</t>
  </si>
  <si>
    <t>chla</t>
  </si>
  <si>
    <t>chlb</t>
  </si>
  <si>
    <t>2026.7.21</t>
  </si>
  <si>
    <t>2026.7.31</t>
  </si>
  <si>
    <t>闵行区陈行基地三鲁河段</t>
  </si>
  <si>
    <t>S</t>
  </si>
  <si>
    <t>2026.8.1</t>
  </si>
  <si>
    <t>青浦区徐泾镇蟠龙市河水系</t>
  </si>
  <si>
    <t>宝山区罗泾镇陈行水源地涵养区</t>
  </si>
  <si>
    <t>2026.8.3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</si>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</sst>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0_ "/>
    <numFmt numFmtId="179" formatCode="0.000_ "/>
  </numFmts>
  <fonts count="22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178" fontId="0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8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justify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70" zoomScaleNormal="170" workbookViewId="0">
      <selection activeCell="A1" sqref="A1:C12"/>
    </sheetView>
  </sheetViews>
  <sheetFormatPr defaultColWidth="9" defaultRowHeight="13.5" outlineLevelCol="2"/>
  <cols>
    <col min="1" max="1" width="14.6371681415929" customWidth="1"/>
    <col min="2" max="2" width="20.6371681415929" customWidth="1"/>
    <col min="3" max="3" width="15.1858407079646"/>
  </cols>
  <sheetData>
    <row r="1" spans="1:3">
      <c r="A1" s="7" t="s">
        <v>0</v>
      </c>
      <c r="B1" s="8" t="s">
        <v>1</v>
      </c>
      <c r="C1" s="9"/>
    </row>
    <row r="2" spans="1:3">
      <c r="A2" s="7" t="s">
        <v>2</v>
      </c>
      <c r="B2" s="8" t="s">
        <v>3</v>
      </c>
      <c r="C2" s="9"/>
    </row>
    <row r="3" spans="1:3">
      <c r="A3" s="10" t="s">
        <v>4</v>
      </c>
      <c r="B3" s="10" t="s">
        <v>5</v>
      </c>
      <c r="C3" s="10" t="s">
        <v>6</v>
      </c>
    </row>
    <row r="4" spans="1:3">
      <c r="A4" s="11" t="s">
        <v>7</v>
      </c>
      <c r="B4" s="12">
        <v>0.473333333333333</v>
      </c>
      <c r="C4" s="13">
        <v>0.0555777733351102</v>
      </c>
    </row>
    <row r="5" spans="1:3">
      <c r="A5" s="11" t="s">
        <v>8</v>
      </c>
      <c r="B5" s="12">
        <v>87.6</v>
      </c>
      <c r="C5" s="13">
        <v>3.1947874212014</v>
      </c>
    </row>
    <row r="6" spans="1:3">
      <c r="A6" s="11" t="s">
        <v>9</v>
      </c>
      <c r="B6" s="12">
        <v>27.4</v>
      </c>
      <c r="C6" s="13">
        <v>0.216024689946928</v>
      </c>
    </row>
    <row r="7" spans="1:3">
      <c r="A7" s="11" t="s">
        <v>10</v>
      </c>
      <c r="B7" s="12">
        <v>7.82166666666667</v>
      </c>
      <c r="C7" s="13">
        <v>0.0125521135891749</v>
      </c>
    </row>
    <row r="8" spans="1:3">
      <c r="A8" s="11" t="s">
        <v>11</v>
      </c>
      <c r="B8" s="12">
        <v>460.3</v>
      </c>
      <c r="C8" s="13">
        <v>2.14165045389455</v>
      </c>
    </row>
    <row r="9" spans="1:3">
      <c r="A9" s="11" t="s">
        <v>12</v>
      </c>
      <c r="B9" s="12">
        <v>7.52666666666667</v>
      </c>
      <c r="C9" s="13">
        <v>0.0402768199119819</v>
      </c>
    </row>
    <row r="10" spans="1:3">
      <c r="A10" s="11" t="s">
        <v>13</v>
      </c>
      <c r="B10" s="12">
        <v>462</v>
      </c>
      <c r="C10" s="13">
        <v>0.816496580927726</v>
      </c>
    </row>
    <row r="11" spans="1:3">
      <c r="A11" s="11" t="s">
        <v>14</v>
      </c>
      <c r="B11" s="12">
        <v>0.112059666666667</v>
      </c>
      <c r="C11" s="13">
        <v>0.0480655806881482</v>
      </c>
    </row>
    <row r="12" spans="1:3">
      <c r="A12" s="11" t="s">
        <v>15</v>
      </c>
      <c r="B12" s="12">
        <v>0.131544333333333</v>
      </c>
      <c r="C12" s="13">
        <v>0.0833362666803728</v>
      </c>
    </row>
  </sheetData>
  <mergeCells count="2">
    <mergeCell ref="B1:C1"/>
    <mergeCell ref="B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Q11"/>
  <sheetViews>
    <sheetView tabSelected="1" workbookViewId="0">
      <selection activeCell="E8" sqref="E8"/>
    </sheetView>
  </sheetViews>
  <sheetFormatPr defaultColWidth="9" defaultRowHeight="13.5"/>
  <cols>
    <col min="4" max="4" width="9.54867256637168"/>
    <col min="5" max="7" width="12.8141592920354"/>
    <col min="11" max="12" width="12.8141592920354"/>
    <col min="13" max="13" width="11.7256637168142"/>
    <col min="14" max="17" width="12.8141592920354"/>
  </cols>
  <sheetData>
    <row r="6" spans="11:17">
      <c r="K6" t="s">
        <v>16</v>
      </c>
      <c r="L6" t="s">
        <v>17</v>
      </c>
      <c r="M6" t="s">
        <v>18</v>
      </c>
      <c r="N6" t="s">
        <v>10</v>
      </c>
      <c r="O6" t="s">
        <v>19</v>
      </c>
      <c r="P6" t="s">
        <v>20</v>
      </c>
      <c r="Q6" t="s">
        <v>21</v>
      </c>
    </row>
    <row r="7" spans="1:17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f>AVERAGE(D8:D10)</f>
        <v>0.112059666666667</v>
      </c>
      <c r="G7">
        <f>STDEVP(D8:D10)</f>
        <v>0.0480655806881482</v>
      </c>
      <c r="K7">
        <v>0.42</v>
      </c>
      <c r="L7">
        <v>83.1</v>
      </c>
      <c r="M7">
        <v>27.7</v>
      </c>
      <c r="N7">
        <v>7.804</v>
      </c>
      <c r="O7">
        <v>463.1</v>
      </c>
      <c r="P7">
        <v>7.47</v>
      </c>
      <c r="Q7">
        <v>463</v>
      </c>
    </row>
    <row r="8" spans="1:17">
      <c r="A8">
        <v>0.0178</v>
      </c>
      <c r="B8">
        <v>0.0162</v>
      </c>
      <c r="C8">
        <v>0.024</v>
      </c>
      <c r="D8">
        <f>12.21*A8-2.81*B8</f>
        <v>0.171816</v>
      </c>
      <c r="E8">
        <f>20.13*B8-5.03*A8</f>
        <v>0.236572</v>
      </c>
      <c r="F8">
        <f>AVERAGE(E8:E10)</f>
        <v>0.131544333333333</v>
      </c>
      <c r="G8">
        <f>STDEVP(E8:E10)</f>
        <v>0.0833362666803728</v>
      </c>
      <c r="K8">
        <v>0.55</v>
      </c>
      <c r="L8">
        <v>89.5</v>
      </c>
      <c r="M8">
        <v>27.3</v>
      </c>
      <c r="N8">
        <v>7.832</v>
      </c>
      <c r="O8">
        <v>459.9</v>
      </c>
      <c r="P8">
        <v>7.55</v>
      </c>
      <c r="Q8">
        <v>462</v>
      </c>
    </row>
    <row r="9" spans="1:17">
      <c r="A9">
        <v>0.0111</v>
      </c>
      <c r="B9">
        <v>0.009</v>
      </c>
      <c r="C9">
        <v>0.0154</v>
      </c>
      <c r="D9">
        <f>12.21*A9-2.81*B9</f>
        <v>0.110241</v>
      </c>
      <c r="E9">
        <f>20.13*B9-5.03*A9</f>
        <v>0.125337</v>
      </c>
      <c r="K9">
        <v>0.45</v>
      </c>
      <c r="L9">
        <v>90.2</v>
      </c>
      <c r="M9">
        <v>27.2</v>
      </c>
      <c r="N9">
        <v>7.829</v>
      </c>
      <c r="O9">
        <v>457.9</v>
      </c>
      <c r="P9">
        <v>7.56</v>
      </c>
      <c r="Q9">
        <v>461</v>
      </c>
    </row>
    <row r="10" spans="1:17">
      <c r="A10">
        <v>0.0051</v>
      </c>
      <c r="B10">
        <v>0.0029</v>
      </c>
      <c r="C10">
        <v>0.0086</v>
      </c>
      <c r="D10">
        <f>12.21*A10-2.81*B10</f>
        <v>0.054122</v>
      </c>
      <c r="E10">
        <f>20.13*B10-5.03*A10</f>
        <v>0.032724</v>
      </c>
      <c r="K10">
        <f>AVERAGE(K7:K9)</f>
        <v>0.473333333333333</v>
      </c>
      <c r="L10">
        <f t="shared" ref="L10:Q10" si="0">AVERAGE(L7:L9)</f>
        <v>87.6</v>
      </c>
      <c r="M10">
        <f t="shared" si="0"/>
        <v>27.4</v>
      </c>
      <c r="N10">
        <f t="shared" si="0"/>
        <v>7.82166666666667</v>
      </c>
      <c r="O10">
        <f t="shared" si="0"/>
        <v>460.3</v>
      </c>
      <c r="P10">
        <f t="shared" si="0"/>
        <v>7.52666666666667</v>
      </c>
      <c r="Q10">
        <f t="shared" si="0"/>
        <v>462</v>
      </c>
    </row>
    <row r="11" spans="11:17">
      <c r="K11">
        <f>STDEVP(K7:K9)</f>
        <v>0.0555777733351102</v>
      </c>
      <c r="L11">
        <f t="shared" ref="L11:Q11" si="1">STDEVP(L7:L9)</f>
        <v>3.1947874212014</v>
      </c>
      <c r="M11">
        <f t="shared" si="1"/>
        <v>0.216024689946928</v>
      </c>
      <c r="N11">
        <f t="shared" si="1"/>
        <v>0.0125521135891749</v>
      </c>
      <c r="O11">
        <f t="shared" si="1"/>
        <v>2.14165045389455</v>
      </c>
      <c r="P11">
        <f t="shared" si="1"/>
        <v>0.0402768199119819</v>
      </c>
      <c r="Q11">
        <f t="shared" si="1"/>
        <v>0.816496580927726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70" zoomScaleNormal="170" workbookViewId="0">
      <selection activeCell="B2" sqref="B2:C2"/>
    </sheetView>
  </sheetViews>
  <sheetFormatPr defaultColWidth="9" defaultRowHeight="13.5" outlineLevelCol="2"/>
  <cols>
    <col min="1" max="1" width="14.7256637168142" customWidth="1"/>
    <col min="2" max="2" width="12.8141592920354"/>
    <col min="3" max="3" width="28.929203539823" customWidth="1"/>
  </cols>
  <sheetData>
    <row r="1" spans="1:3">
      <c r="A1" s="7" t="s">
        <v>0</v>
      </c>
      <c r="B1" s="8" t="s">
        <v>27</v>
      </c>
      <c r="C1" s="9"/>
    </row>
    <row r="2" spans="1:3">
      <c r="A2" s="7" t="s">
        <v>2</v>
      </c>
      <c r="B2" s="8" t="s">
        <v>3</v>
      </c>
      <c r="C2" s="9"/>
    </row>
    <row r="3" spans="1:3">
      <c r="A3" s="10" t="s">
        <v>4</v>
      </c>
      <c r="B3" s="10" t="s">
        <v>5</v>
      </c>
      <c r="C3" s="10" t="s">
        <v>6</v>
      </c>
    </row>
    <row r="4" ht="17" customHeight="1" spans="1:3">
      <c r="A4" s="11" t="s">
        <v>7</v>
      </c>
      <c r="B4" s="12">
        <v>0.221666666666667</v>
      </c>
      <c r="C4" s="13">
        <v>0.0154560308258262</v>
      </c>
    </row>
    <row r="5" ht="15" customHeight="1" spans="1:3">
      <c r="A5" s="11" t="s">
        <v>8</v>
      </c>
      <c r="B5" s="12">
        <v>179.333333333333</v>
      </c>
      <c r="C5" s="13">
        <v>2.49443825784929</v>
      </c>
    </row>
    <row r="6" spans="1:3">
      <c r="A6" s="11" t="s">
        <v>9</v>
      </c>
      <c r="B6" s="12">
        <v>28.8666666666667</v>
      </c>
      <c r="C6" s="13">
        <v>0.805536398239639</v>
      </c>
    </row>
    <row r="7" spans="1:3">
      <c r="A7" s="11" t="s">
        <v>10</v>
      </c>
      <c r="B7" s="12">
        <v>7.346</v>
      </c>
      <c r="C7" s="13">
        <v>0.0300998338865847</v>
      </c>
    </row>
    <row r="8" spans="1:3">
      <c r="A8" s="11" t="s">
        <v>11</v>
      </c>
      <c r="B8" s="12">
        <v>407.533333333333</v>
      </c>
      <c r="C8" s="13">
        <v>1.89091394715772</v>
      </c>
    </row>
    <row r="9" spans="1:3">
      <c r="A9" s="11" t="s">
        <v>12</v>
      </c>
      <c r="B9" s="12">
        <v>3.35666666666667</v>
      </c>
      <c r="C9" s="13">
        <v>0.0478423336480244</v>
      </c>
    </row>
    <row r="10" spans="1:3">
      <c r="A10" s="11" t="s">
        <v>13</v>
      </c>
      <c r="B10" s="12">
        <v>400</v>
      </c>
      <c r="C10" s="13">
        <v>1.63299316185545</v>
      </c>
    </row>
    <row r="11" spans="1:3">
      <c r="A11" s="11" t="s">
        <v>14</v>
      </c>
      <c r="B11" s="12">
        <v>0.3289215</v>
      </c>
      <c r="C11" s="13">
        <v>0.1073055</v>
      </c>
    </row>
    <row r="12" spans="1:3">
      <c r="A12" s="11" t="s">
        <v>15</v>
      </c>
      <c r="B12" s="12">
        <v>0.4507455</v>
      </c>
      <c r="C12" s="13">
        <v>0.1834635</v>
      </c>
    </row>
  </sheetData>
  <mergeCells count="2">
    <mergeCell ref="B1:C1"/>
    <mergeCell ref="B2:C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17"/>
  <sheetViews>
    <sheetView workbookViewId="0">
      <selection activeCell="A4" sqref="A4:G17"/>
    </sheetView>
  </sheetViews>
  <sheetFormatPr defaultColWidth="8.72566371681416" defaultRowHeight="13.5" outlineLevelCol="6"/>
  <cols>
    <col min="1" max="1" width="12.8141592920354"/>
    <col min="4" max="4" width="9.54867256637168"/>
    <col min="5" max="5" width="8.45132743362832" customWidth="1"/>
    <col min="6" max="7" width="12.8141592920354"/>
  </cols>
  <sheetData>
    <row r="4" spans="1:7">
      <c r="A4" t="s">
        <v>16</v>
      </c>
      <c r="B4" t="s">
        <v>17</v>
      </c>
      <c r="C4" t="s">
        <v>20</v>
      </c>
      <c r="D4" t="s">
        <v>21</v>
      </c>
      <c r="E4" t="s">
        <v>19</v>
      </c>
      <c r="F4" t="s">
        <v>10</v>
      </c>
      <c r="G4" t="s">
        <v>18</v>
      </c>
    </row>
    <row r="5" spans="1:7">
      <c r="A5">
        <v>0.2</v>
      </c>
      <c r="B5">
        <v>176</v>
      </c>
      <c r="C5">
        <v>3.38</v>
      </c>
      <c r="D5">
        <v>400</v>
      </c>
      <c r="E5">
        <v>406.9</v>
      </c>
      <c r="F5">
        <v>7.388</v>
      </c>
      <c r="G5">
        <v>28.4</v>
      </c>
    </row>
    <row r="6" spans="1:7">
      <c r="A6">
        <v>0.23</v>
      </c>
      <c r="B6">
        <v>180</v>
      </c>
      <c r="C6">
        <v>3.29</v>
      </c>
      <c r="D6">
        <v>402</v>
      </c>
      <c r="E6">
        <v>405.6</v>
      </c>
      <c r="F6">
        <v>7.319</v>
      </c>
      <c r="G6">
        <v>30</v>
      </c>
    </row>
    <row r="7" spans="1:7">
      <c r="A7">
        <v>0.235</v>
      </c>
      <c r="B7">
        <v>182</v>
      </c>
      <c r="C7" s="2">
        <v>3.4</v>
      </c>
      <c r="D7">
        <v>398</v>
      </c>
      <c r="E7">
        <v>410.1</v>
      </c>
      <c r="F7">
        <v>7.331</v>
      </c>
      <c r="G7">
        <v>28.2</v>
      </c>
    </row>
    <row r="8" spans="1:7">
      <c r="A8">
        <f t="shared" ref="A8:G8" si="0">AVERAGE(A5:A7)</f>
        <v>0.221666666666667</v>
      </c>
      <c r="B8">
        <f t="shared" si="0"/>
        <v>179.333333333333</v>
      </c>
      <c r="C8">
        <f t="shared" si="0"/>
        <v>3.35666666666667</v>
      </c>
      <c r="D8">
        <f t="shared" si="0"/>
        <v>400</v>
      </c>
      <c r="E8">
        <f t="shared" si="0"/>
        <v>407.533333333333</v>
      </c>
      <c r="F8">
        <f t="shared" si="0"/>
        <v>7.346</v>
      </c>
      <c r="G8">
        <f t="shared" si="0"/>
        <v>28.8666666666667</v>
      </c>
    </row>
    <row r="9" spans="1:7">
      <c r="A9">
        <f t="shared" ref="A9:G9" si="1">STDEVP(A5,A6,A7)</f>
        <v>0.0154560308258262</v>
      </c>
      <c r="B9">
        <f t="shared" si="1"/>
        <v>2.49443825784929</v>
      </c>
      <c r="C9">
        <f t="shared" si="1"/>
        <v>0.0478423336480244</v>
      </c>
      <c r="D9">
        <f t="shared" si="1"/>
        <v>1.63299316185545</v>
      </c>
      <c r="E9">
        <f t="shared" si="1"/>
        <v>1.89091394715772</v>
      </c>
      <c r="F9">
        <f t="shared" si="1"/>
        <v>0.0300998338865847</v>
      </c>
      <c r="G9">
        <f t="shared" si="1"/>
        <v>0.805536398239639</v>
      </c>
    </row>
    <row r="14" spans="1:7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f>AVERAGE(D15,D17)</f>
        <v>0.3289215</v>
      </c>
      <c r="G14">
        <f>STDEVP(D15,D17)</f>
        <v>0.1073055</v>
      </c>
    </row>
    <row r="15" spans="1:7">
      <c r="A15">
        <v>0.0152</v>
      </c>
      <c r="B15">
        <v>0.0143</v>
      </c>
      <c r="C15">
        <v>0.0193</v>
      </c>
      <c r="D15">
        <f>3*(12.21*A15-2.81*B15)</f>
        <v>0.436227</v>
      </c>
      <c r="E15">
        <f>3*(20.13*B15-5.03*A15)</f>
        <v>0.634209</v>
      </c>
      <c r="F15">
        <f>AVERAGE(E15,E17)</f>
        <v>0.4507455</v>
      </c>
      <c r="G15">
        <f>STDEVP(E15,E17)</f>
        <v>0.1834635</v>
      </c>
    </row>
    <row r="16" s="5" customFormat="1" spans="1:5">
      <c r="A16" s="5">
        <v>0.0822</v>
      </c>
      <c r="B16" s="5">
        <v>0.0791</v>
      </c>
      <c r="C16" s="5">
        <v>0.0982</v>
      </c>
      <c r="D16" s="5">
        <f t="shared" ref="D15:D17" si="2">12.21*A16-2.81*B16</f>
        <v>0.781391</v>
      </c>
      <c r="E16" s="5">
        <f t="shared" ref="E15:E17" si="3">20.13*B16-5.03*A16</f>
        <v>1.178817</v>
      </c>
    </row>
    <row r="17" spans="1:5">
      <c r="A17">
        <v>0.0225</v>
      </c>
      <c r="B17">
        <v>0.0189</v>
      </c>
      <c r="C17">
        <v>0.0304</v>
      </c>
      <c r="D17">
        <f t="shared" si="2"/>
        <v>0.221616</v>
      </c>
      <c r="E17">
        <f t="shared" si="3"/>
        <v>0.267282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4" sqref="B4:C12"/>
    </sheetView>
  </sheetViews>
  <sheetFormatPr defaultColWidth="8.72566371681416" defaultRowHeight="13.5" outlineLevelCol="2"/>
  <cols>
    <col min="1" max="1" width="21.0973451327434" customWidth="1"/>
    <col min="2" max="2" width="17.6194690265487" customWidth="1"/>
    <col min="3" max="3" width="12.8141592920354"/>
    <col min="5" max="6" width="10.5486725663717"/>
    <col min="7" max="7" width="12.8141592920354"/>
  </cols>
  <sheetData>
    <row r="1" spans="1:3">
      <c r="A1" s="7" t="s">
        <v>0</v>
      </c>
      <c r="B1" s="8" t="s">
        <v>27</v>
      </c>
      <c r="C1" s="9"/>
    </row>
    <row r="2" spans="1:3">
      <c r="A2" s="7" t="s">
        <v>2</v>
      </c>
      <c r="B2" s="8" t="s">
        <v>3</v>
      </c>
      <c r="C2" s="9"/>
    </row>
    <row r="3" spans="1:3">
      <c r="A3" s="10" t="s">
        <v>4</v>
      </c>
      <c r="B3" s="10" t="s">
        <v>5</v>
      </c>
      <c r="C3" s="10" t="s">
        <v>6</v>
      </c>
    </row>
    <row r="4" spans="1:3">
      <c r="A4" s="11" t="s">
        <v>7</v>
      </c>
      <c r="B4" s="12">
        <v>0.266666666666667</v>
      </c>
      <c r="C4" s="13">
        <v>0.00942809041582064</v>
      </c>
    </row>
    <row r="5" spans="1:3">
      <c r="A5" s="11" t="s">
        <v>8</v>
      </c>
      <c r="B5" s="12">
        <v>98.5</v>
      </c>
      <c r="C5" s="13">
        <v>2.49131825880731</v>
      </c>
    </row>
    <row r="6" spans="1:3">
      <c r="A6" s="11" t="s">
        <v>9</v>
      </c>
      <c r="B6" s="12">
        <v>31.4666666666667</v>
      </c>
      <c r="C6" s="13">
        <v>0.124721912892465</v>
      </c>
    </row>
    <row r="7" spans="1:3">
      <c r="A7" s="11" t="s">
        <v>10</v>
      </c>
      <c r="B7" s="12">
        <v>7.774</v>
      </c>
      <c r="C7" s="13">
        <v>0.0290172362570941</v>
      </c>
    </row>
    <row r="8" spans="1:3">
      <c r="A8" s="11" t="s">
        <v>11</v>
      </c>
      <c r="B8" s="12">
        <v>417.9</v>
      </c>
      <c r="C8" s="13">
        <v>19.1480199150373</v>
      </c>
    </row>
    <row r="9" spans="1:3">
      <c r="A9" s="11" t="s">
        <v>12</v>
      </c>
      <c r="B9" s="12">
        <v>3.55</v>
      </c>
      <c r="C9" s="13">
        <v>0.39293765408777</v>
      </c>
    </row>
    <row r="10" spans="1:3">
      <c r="A10" s="18" t="s">
        <v>13</v>
      </c>
      <c r="B10" s="14">
        <v>453</v>
      </c>
      <c r="C10" s="15">
        <v>0.816496580927726</v>
      </c>
    </row>
    <row r="11" spans="1:3">
      <c r="A11" s="11" t="s">
        <v>14</v>
      </c>
      <c r="B11" s="12">
        <v>0.4188235</v>
      </c>
      <c r="C11" s="13">
        <v>0.1338095</v>
      </c>
    </row>
    <row r="12" spans="1:3">
      <c r="A12" s="11" t="s">
        <v>15</v>
      </c>
      <c r="B12" s="12">
        <v>0.6888095</v>
      </c>
      <c r="C12" s="13">
        <v>0.2161815</v>
      </c>
    </row>
    <row r="13" spans="1:3">
      <c r="A13" s="19"/>
      <c r="B13" s="16"/>
      <c r="C13" s="17"/>
    </row>
  </sheetData>
  <mergeCells count="2">
    <mergeCell ref="B1:C1"/>
    <mergeCell ref="B2:C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17"/>
  <sheetViews>
    <sheetView zoomScale="110" zoomScaleNormal="110" workbookViewId="0">
      <selection activeCell="A4" sqref="A4:H18"/>
    </sheetView>
  </sheetViews>
  <sheetFormatPr defaultColWidth="8.72566371681416" defaultRowHeight="13.5" outlineLevelCol="6"/>
  <cols>
    <col min="4" max="4" width="9.54867256637168"/>
    <col min="5" max="5" width="12.8141592920354"/>
    <col min="6" max="7" width="10.5486725663717"/>
  </cols>
  <sheetData>
    <row r="4" spans="1:7">
      <c r="A4" t="s">
        <v>16</v>
      </c>
      <c r="B4" t="s">
        <v>17</v>
      </c>
      <c r="C4" t="s">
        <v>20</v>
      </c>
      <c r="D4" t="s">
        <v>21</v>
      </c>
      <c r="E4" t="s">
        <v>19</v>
      </c>
      <c r="F4" t="s">
        <v>10</v>
      </c>
      <c r="G4" t="s">
        <v>18</v>
      </c>
    </row>
    <row r="5" spans="1:7">
      <c r="A5">
        <v>0.28</v>
      </c>
      <c r="B5">
        <v>97.1</v>
      </c>
      <c r="C5">
        <v>3.09</v>
      </c>
      <c r="D5">
        <v>452</v>
      </c>
      <c r="E5">
        <v>444</v>
      </c>
      <c r="F5">
        <v>7.733</v>
      </c>
      <c r="G5">
        <v>31.6</v>
      </c>
    </row>
    <row r="6" spans="1:7">
      <c r="A6">
        <v>0.26</v>
      </c>
      <c r="B6">
        <v>102</v>
      </c>
      <c r="C6">
        <v>3.51</v>
      </c>
      <c r="D6">
        <v>454</v>
      </c>
      <c r="E6">
        <v>411.1</v>
      </c>
      <c r="F6">
        <v>7.796</v>
      </c>
      <c r="G6">
        <v>31.5</v>
      </c>
    </row>
    <row r="7" spans="1:7">
      <c r="A7">
        <v>0.26</v>
      </c>
      <c r="B7">
        <v>96.4</v>
      </c>
      <c r="C7" s="2">
        <v>4.05</v>
      </c>
      <c r="D7">
        <v>453</v>
      </c>
      <c r="E7">
        <v>398.6</v>
      </c>
      <c r="F7">
        <v>7.793</v>
      </c>
      <c r="G7">
        <v>31.3</v>
      </c>
    </row>
    <row r="8" spans="1:7">
      <c r="A8">
        <f t="shared" ref="A8:G8" si="0">AVERAGE(A5:A7)</f>
        <v>0.266666666666667</v>
      </c>
      <c r="B8">
        <f t="shared" si="0"/>
        <v>98.5</v>
      </c>
      <c r="C8">
        <f t="shared" si="0"/>
        <v>3.55</v>
      </c>
      <c r="D8">
        <f t="shared" si="0"/>
        <v>453</v>
      </c>
      <c r="E8">
        <f t="shared" si="0"/>
        <v>417.9</v>
      </c>
      <c r="F8">
        <f t="shared" si="0"/>
        <v>7.774</v>
      </c>
      <c r="G8">
        <f t="shared" si="0"/>
        <v>31.4666666666667</v>
      </c>
    </row>
    <row r="9" spans="1:7">
      <c r="A9">
        <f t="shared" ref="A9:G9" si="1">STDEVP(A5,A6,A7)</f>
        <v>0.00942809041582064</v>
      </c>
      <c r="B9">
        <f t="shared" si="1"/>
        <v>2.49131825880731</v>
      </c>
      <c r="C9">
        <f t="shared" si="1"/>
        <v>0.39293765408777</v>
      </c>
      <c r="D9">
        <f t="shared" si="1"/>
        <v>0.816496580927726</v>
      </c>
      <c r="E9">
        <f t="shared" si="1"/>
        <v>19.1480199150373</v>
      </c>
      <c r="F9">
        <f t="shared" si="1"/>
        <v>0.0290172362570941</v>
      </c>
      <c r="G9">
        <f t="shared" si="1"/>
        <v>0.124721912892465</v>
      </c>
    </row>
    <row r="14" spans="1:7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f>AVERAGE(D17,D16)</f>
        <v>0.4188235</v>
      </c>
      <c r="G14">
        <f>STDEVP(D17,D16)</f>
        <v>0.1338095</v>
      </c>
    </row>
    <row r="15" spans="1:7">
      <c r="A15" s="5">
        <v>0.0362</v>
      </c>
      <c r="B15" s="5">
        <v>0.0372</v>
      </c>
      <c r="C15" s="5">
        <v>0.0479</v>
      </c>
      <c r="D15" s="5">
        <f>3*(12.21*A15-2.81*B15)</f>
        <v>1.01241</v>
      </c>
      <c r="E15" s="5">
        <f>3*(20.13*B15-5.03*A15)</f>
        <v>1.70025</v>
      </c>
      <c r="F15">
        <f>AVERAGE(E16,E17)</f>
        <v>0.6888095</v>
      </c>
      <c r="G15">
        <f>STDEVP(E16,E17)</f>
        <v>0.2161815</v>
      </c>
    </row>
    <row r="16" spans="1:7">
      <c r="A16" s="3">
        <v>0.0305</v>
      </c>
      <c r="B16" s="3">
        <v>0.0311</v>
      </c>
      <c r="C16" s="4">
        <v>0.039</v>
      </c>
      <c r="D16" s="3">
        <f>12.21*A16-2.81*B16</f>
        <v>0.285014</v>
      </c>
      <c r="E16" s="3">
        <f>20.13*B16-5.03*A16</f>
        <v>0.472628</v>
      </c>
      <c r="F16" s="5"/>
      <c r="G16" s="5"/>
    </row>
    <row r="17" spans="1:5">
      <c r="A17" s="6">
        <v>0.059</v>
      </c>
      <c r="B17">
        <v>0.0597</v>
      </c>
      <c r="C17">
        <v>0.0714</v>
      </c>
      <c r="D17">
        <f>12.21*A17-2.81*B17</f>
        <v>0.552633</v>
      </c>
      <c r="E17">
        <f>20.13*B17-5.03*A17</f>
        <v>0.904991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60" zoomScaleNormal="160" workbookViewId="0">
      <selection activeCell="B2" sqref="B2:C2"/>
    </sheetView>
  </sheetViews>
  <sheetFormatPr defaultColWidth="8.72566371681416" defaultRowHeight="13.5" outlineLevelCol="2"/>
  <cols>
    <col min="1" max="1" width="15.9115044247788" customWidth="1"/>
    <col min="2" max="2" width="12.8141592920354"/>
    <col min="3" max="3" width="17.4424778761062" customWidth="1"/>
    <col min="4" max="4" width="12.8141592920354"/>
    <col min="5" max="6" width="11.7256637168142"/>
    <col min="7" max="8" width="12.8141592920354"/>
  </cols>
  <sheetData>
    <row r="1" spans="1:3">
      <c r="A1" s="7" t="s">
        <v>0</v>
      </c>
      <c r="B1" s="8" t="s">
        <v>28</v>
      </c>
      <c r="C1" s="9"/>
    </row>
    <row r="2" spans="1:3">
      <c r="A2" s="7" t="s">
        <v>2</v>
      </c>
      <c r="B2" s="8" t="s">
        <v>29</v>
      </c>
      <c r="C2" s="9"/>
    </row>
    <row r="3" spans="1:3">
      <c r="A3" s="10" t="s">
        <v>4</v>
      </c>
      <c r="B3" s="10" t="s">
        <v>5</v>
      </c>
      <c r="C3" s="10" t="s">
        <v>6</v>
      </c>
    </row>
    <row r="4" spans="1:3">
      <c r="A4" s="11" t="s">
        <v>7</v>
      </c>
      <c r="B4" s="12">
        <v>0.42</v>
      </c>
      <c r="C4" s="13">
        <v>0.00816496580927727</v>
      </c>
    </row>
    <row r="5" spans="1:3">
      <c r="A5" s="11" t="s">
        <v>8</v>
      </c>
      <c r="B5" s="12">
        <v>61.7333333333333</v>
      </c>
      <c r="C5" s="13">
        <v>5.66176258382101</v>
      </c>
    </row>
    <row r="6" spans="1:3">
      <c r="A6" s="11" t="s">
        <v>9</v>
      </c>
      <c r="B6" s="12">
        <v>30.5666666666667</v>
      </c>
      <c r="C6" s="13">
        <v>0.205480466765633</v>
      </c>
    </row>
    <row r="7" spans="1:3">
      <c r="A7" s="11" t="s">
        <v>10</v>
      </c>
      <c r="B7" s="12">
        <v>8.53866666666667</v>
      </c>
      <c r="C7" s="13">
        <v>0.0104986771653496</v>
      </c>
    </row>
    <row r="8" spans="1:3">
      <c r="A8" s="11" t="s">
        <v>11</v>
      </c>
      <c r="B8" s="12">
        <v>401.866666666667</v>
      </c>
      <c r="C8" s="13">
        <v>2.58370965001017</v>
      </c>
    </row>
    <row r="9" spans="1:3">
      <c r="A9" s="11" t="s">
        <v>12</v>
      </c>
      <c r="B9" s="12">
        <v>6.76</v>
      </c>
      <c r="C9" s="13">
        <v>0.261916017074176</v>
      </c>
    </row>
    <row r="10" spans="1:3">
      <c r="A10" s="11" t="s">
        <v>13</v>
      </c>
      <c r="B10" s="14">
        <v>534.666666666667</v>
      </c>
      <c r="C10" s="15">
        <v>7.40870359029762</v>
      </c>
    </row>
    <row r="11" spans="1:3">
      <c r="A11" s="11" t="s">
        <v>14</v>
      </c>
      <c r="B11" s="12">
        <v>0.163629</v>
      </c>
      <c r="C11" s="13">
        <v>0.00169100000000001</v>
      </c>
    </row>
    <row r="12" spans="1:3">
      <c r="A12" s="11" t="s">
        <v>15</v>
      </c>
      <c r="B12" s="12">
        <v>0</v>
      </c>
      <c r="C12" s="13">
        <v>0</v>
      </c>
    </row>
  </sheetData>
  <mergeCells count="2">
    <mergeCell ref="B1:C1"/>
    <mergeCell ref="B2:C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1:H15"/>
    </sheetView>
  </sheetViews>
  <sheetFormatPr defaultColWidth="8.72566371681416" defaultRowHeight="13.5"/>
  <cols>
    <col min="1" max="1" width="12.8141592920354"/>
    <col min="4" max="4" width="9.54867256637168"/>
    <col min="5" max="6" width="10.5486725663717"/>
    <col min="7" max="7" width="9.54867256637168"/>
  </cols>
  <sheetData>
    <row r="1" spans="1:7">
      <c r="A1" t="s">
        <v>16</v>
      </c>
      <c r="B1" t="s">
        <v>17</v>
      </c>
      <c r="C1" t="s">
        <v>20</v>
      </c>
      <c r="D1" t="s">
        <v>21</v>
      </c>
      <c r="E1" t="s">
        <v>19</v>
      </c>
      <c r="F1" t="s">
        <v>10</v>
      </c>
      <c r="G1" t="s">
        <v>18</v>
      </c>
    </row>
    <row r="2" spans="1:7">
      <c r="A2">
        <v>0.42</v>
      </c>
      <c r="B2">
        <v>69.4</v>
      </c>
      <c r="C2">
        <v>7.11</v>
      </c>
      <c r="D2">
        <v>528</v>
      </c>
      <c r="E2">
        <v>398.4</v>
      </c>
      <c r="F2">
        <v>8.548</v>
      </c>
      <c r="G2">
        <v>30.3</v>
      </c>
    </row>
    <row r="3" spans="1:7">
      <c r="A3">
        <v>0.43</v>
      </c>
      <c r="B3">
        <v>59.9</v>
      </c>
      <c r="C3">
        <v>6.48</v>
      </c>
      <c r="D3">
        <v>531</v>
      </c>
      <c r="E3">
        <v>404.6</v>
      </c>
      <c r="F3">
        <v>8.524</v>
      </c>
      <c r="G3">
        <v>30.6</v>
      </c>
    </row>
    <row r="4" spans="1:7">
      <c r="A4">
        <v>0.41</v>
      </c>
      <c r="B4">
        <v>55.9</v>
      </c>
      <c r="C4" s="2">
        <v>6.69</v>
      </c>
      <c r="D4">
        <v>545</v>
      </c>
      <c r="E4">
        <v>402.6</v>
      </c>
      <c r="F4">
        <v>8.544</v>
      </c>
      <c r="G4">
        <v>30.8</v>
      </c>
    </row>
    <row r="5" spans="1:7">
      <c r="A5">
        <f t="shared" ref="A5:G5" si="0">AVERAGE(A2:A4)</f>
        <v>0.42</v>
      </c>
      <c r="B5">
        <f t="shared" si="0"/>
        <v>61.7333333333333</v>
      </c>
      <c r="C5">
        <f t="shared" si="0"/>
        <v>6.76</v>
      </c>
      <c r="D5">
        <f t="shared" si="0"/>
        <v>534.666666666667</v>
      </c>
      <c r="E5">
        <f t="shared" si="0"/>
        <v>401.866666666667</v>
      </c>
      <c r="F5">
        <f t="shared" si="0"/>
        <v>8.53866666666667</v>
      </c>
      <c r="G5">
        <f t="shared" si="0"/>
        <v>30.5666666666667</v>
      </c>
    </row>
    <row r="6" spans="1:7">
      <c r="A6">
        <f>STDEVP(A2,A3,A4)</f>
        <v>0.00816496580927727</v>
      </c>
      <c r="B6">
        <f t="shared" ref="A6:G6" si="1">STDEVP(B2,B3,B4)</f>
        <v>5.66176258382101</v>
      </c>
      <c r="C6">
        <f t="shared" si="1"/>
        <v>0.261916017074176</v>
      </c>
      <c r="D6">
        <f t="shared" si="1"/>
        <v>7.40870359029762</v>
      </c>
      <c r="E6">
        <f t="shared" si="1"/>
        <v>2.58370965001017</v>
      </c>
      <c r="F6">
        <f t="shared" si="1"/>
        <v>0.0104986771653496</v>
      </c>
      <c r="G6">
        <f t="shared" si="1"/>
        <v>0.205480466765633</v>
      </c>
    </row>
    <row r="11" spans="1:7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f>AVERAGE(D14,D13)</f>
        <v>0.163629</v>
      </c>
      <c r="G11">
        <f>STDEVP(D14,D13)</f>
        <v>0.00169100000000001</v>
      </c>
    </row>
    <row r="12" spans="1:7">
      <c r="A12" s="3">
        <v>0.0142</v>
      </c>
      <c r="B12" s="3">
        <v>0.0019</v>
      </c>
      <c r="C12" s="3">
        <v>0.0159</v>
      </c>
      <c r="D12" s="3">
        <f>3*(12.21*A12-2.81*B12)</f>
        <v>0.504129</v>
      </c>
      <c r="E12" s="3">
        <f>3*(20.13*B12-5.03*A12)</f>
        <v>-0.099537</v>
      </c>
      <c r="F12">
        <f>AVERAGE(E13,E14)</f>
        <v>-0.030412</v>
      </c>
      <c r="G12">
        <f>STDEVP(E13,E14)</f>
        <v>0.000251999999999995</v>
      </c>
    </row>
    <row r="13" spans="1:7">
      <c r="A13" s="3">
        <v>0.0137</v>
      </c>
      <c r="B13" s="3">
        <v>0.0019</v>
      </c>
      <c r="C13" s="4">
        <v>0.016</v>
      </c>
      <c r="D13" s="3">
        <f>12.21*A13-2.81*B13</f>
        <v>0.161938</v>
      </c>
      <c r="E13" s="3">
        <f>20.13*B13-5.03*A13</f>
        <v>-0.030664</v>
      </c>
      <c r="F13" s="5"/>
      <c r="G13" s="5"/>
    </row>
    <row r="14" spans="1:5">
      <c r="A14" s="6">
        <v>0.014</v>
      </c>
      <c r="B14">
        <v>0.002</v>
      </c>
      <c r="C14">
        <v>0.0165</v>
      </c>
      <c r="D14">
        <f>12.21*A14-2.81*B14</f>
        <v>0.16532</v>
      </c>
      <c r="E14">
        <f>20.13*B14-5.03*A14</f>
        <v>-0.03016</v>
      </c>
    </row>
    <row r="33" spans="12:12">
      <c r="L33" t="s">
        <v>30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:H12"/>
    </sheetView>
  </sheetViews>
  <sheetFormatPr defaultColWidth="8.72566371681416" defaultRowHeight="13.5" outlineLevelCol="7"/>
  <cols>
    <col min="1" max="1" width="15.7256637168142" customWidth="1"/>
    <col min="2" max="2" width="16" customWidth="1"/>
    <col min="3" max="3" width="12.1858407079646" customWidth="1"/>
    <col min="7" max="7" width="12.8141592920354"/>
    <col min="8" max="8" width="23.6371681415929" customWidth="1"/>
    <col min="11" max="18" width="12.8141592920354"/>
  </cols>
  <sheetData>
    <row r="1" spans="1:8">
      <c r="A1" s="7" t="s">
        <v>0</v>
      </c>
      <c r="B1" s="8" t="s">
        <v>31</v>
      </c>
      <c r="C1" s="9"/>
      <c r="F1" s="7" t="s">
        <v>0</v>
      </c>
      <c r="G1" s="8" t="s">
        <v>31</v>
      </c>
      <c r="H1" s="9"/>
    </row>
    <row r="2" spans="1:8">
      <c r="A2" s="7" t="s">
        <v>2</v>
      </c>
      <c r="B2" s="8" t="s">
        <v>32</v>
      </c>
      <c r="C2" s="9"/>
      <c r="F2" s="7" t="s">
        <v>2</v>
      </c>
      <c r="G2" s="8" t="s">
        <v>33</v>
      </c>
      <c r="H2" s="9"/>
    </row>
    <row r="3" spans="1:8">
      <c r="A3" s="10" t="s">
        <v>4</v>
      </c>
      <c r="B3" s="10" t="s">
        <v>5</v>
      </c>
      <c r="C3" s="10" t="s">
        <v>6</v>
      </c>
      <c r="F3" s="10" t="s">
        <v>4</v>
      </c>
      <c r="G3" s="10" t="s">
        <v>5</v>
      </c>
      <c r="H3" s="10" t="s">
        <v>6</v>
      </c>
    </row>
    <row r="4" ht="27" spans="1:8">
      <c r="A4" s="11" t="s">
        <v>7</v>
      </c>
      <c r="B4" s="12">
        <v>0.82</v>
      </c>
      <c r="C4" s="13">
        <v>0.00816496580927722</v>
      </c>
      <c r="F4" s="11" t="s">
        <v>7</v>
      </c>
      <c r="G4" s="12">
        <v>0.233333333333333</v>
      </c>
      <c r="H4" s="13">
        <v>0.016996731711976</v>
      </c>
    </row>
    <row r="5" ht="27" spans="1:8">
      <c r="A5" s="11" t="s">
        <v>8</v>
      </c>
      <c r="B5" s="12">
        <v>66.3333333333333</v>
      </c>
      <c r="C5" s="13">
        <v>4.64494946749215</v>
      </c>
      <c r="F5" s="11" t="s">
        <v>8</v>
      </c>
      <c r="G5" s="12">
        <v>359</v>
      </c>
      <c r="H5" s="13">
        <v>5.09901951359278</v>
      </c>
    </row>
    <row r="6" ht="27" spans="1:8">
      <c r="A6" s="11" t="s">
        <v>9</v>
      </c>
      <c r="B6" s="12">
        <v>32.7</v>
      </c>
      <c r="C6" s="13">
        <v>0.78740078740118</v>
      </c>
      <c r="F6" s="11" t="s">
        <v>9</v>
      </c>
      <c r="G6" s="12">
        <v>37.8</v>
      </c>
      <c r="H6" s="13">
        <v>1.06770782520313</v>
      </c>
    </row>
    <row r="7" spans="1:8">
      <c r="A7" s="11" t="s">
        <v>10</v>
      </c>
      <c r="B7" s="12">
        <v>7.50966666666667</v>
      </c>
      <c r="C7" s="13">
        <v>0.0288944439103593</v>
      </c>
      <c r="F7" s="11" t="s">
        <v>10</v>
      </c>
      <c r="G7" s="12">
        <v>8.45733333333333</v>
      </c>
      <c r="H7" s="13">
        <v>0.0145220139405284</v>
      </c>
    </row>
    <row r="8" ht="27" spans="1:8">
      <c r="A8" s="11" t="s">
        <v>11</v>
      </c>
      <c r="B8" s="14">
        <v>393.533333333333</v>
      </c>
      <c r="C8" s="15">
        <v>0.524933858267451</v>
      </c>
      <c r="F8" s="11" t="s">
        <v>11</v>
      </c>
      <c r="G8" s="14">
        <v>431.466666666667</v>
      </c>
      <c r="H8" s="15">
        <v>1.53260852434301</v>
      </c>
    </row>
    <row r="9" ht="27" spans="1:8">
      <c r="A9" s="11" t="s">
        <v>12</v>
      </c>
      <c r="B9" s="12">
        <v>3.3</v>
      </c>
      <c r="C9" s="13">
        <v>0.196129209111409</v>
      </c>
      <c r="F9" s="11" t="s">
        <v>12</v>
      </c>
      <c r="G9" s="12">
        <v>5.47</v>
      </c>
      <c r="H9" s="13">
        <v>0.197989898732234</v>
      </c>
    </row>
    <row r="10" ht="27" spans="1:8">
      <c r="A10" s="11" t="s">
        <v>13</v>
      </c>
      <c r="B10" s="12">
        <v>640</v>
      </c>
      <c r="C10" s="13">
        <v>6.37704215656966</v>
      </c>
      <c r="F10" s="11" t="s">
        <v>13</v>
      </c>
      <c r="G10" s="12">
        <v>402.666666666667</v>
      </c>
      <c r="H10" s="13">
        <v>4.02768199119819</v>
      </c>
    </row>
    <row r="11" ht="27" spans="1:8">
      <c r="A11" s="11" t="s">
        <v>14</v>
      </c>
      <c r="B11" s="12">
        <v>0.051864</v>
      </c>
      <c r="C11" s="13">
        <v>0.006299</v>
      </c>
      <c r="F11" s="11" t="s">
        <v>14</v>
      </c>
      <c r="G11" s="12">
        <v>0.37266</v>
      </c>
      <c r="H11" s="13">
        <v>0.027138</v>
      </c>
    </row>
    <row r="12" ht="27" spans="1:8">
      <c r="A12" s="11" t="s">
        <v>15</v>
      </c>
      <c r="B12" s="12">
        <v>0.024168</v>
      </c>
      <c r="C12" s="13">
        <v>0.012583</v>
      </c>
      <c r="F12" s="11" t="s">
        <v>15</v>
      </c>
      <c r="G12" s="12">
        <v>0.475415</v>
      </c>
      <c r="H12" s="13">
        <v>0.0254089999999999</v>
      </c>
    </row>
  </sheetData>
  <mergeCells count="4">
    <mergeCell ref="B1:C1"/>
    <mergeCell ref="G1:H1"/>
    <mergeCell ref="B2:C2"/>
    <mergeCell ref="G2:H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workbookViewId="0">
      <selection activeCell="G12" sqref="G12"/>
    </sheetView>
  </sheetViews>
  <sheetFormatPr defaultColWidth="8.72566371681416" defaultRowHeight="13.5"/>
  <cols>
    <col min="4" max="4" width="9.54867256637168"/>
    <col min="5" max="5" width="10.5486725663717"/>
    <col min="6" max="7" width="12.8141592920354"/>
    <col min="16" max="16" width="12.8141592920354"/>
    <col min="17" max="18" width="10.5486725663717"/>
    <col min="19" max="21" width="9.54867256637168"/>
  </cols>
  <sheetData>
    <row r="1" spans="1:19">
      <c r="A1" t="s">
        <v>16</v>
      </c>
      <c r="B1" t="s">
        <v>17</v>
      </c>
      <c r="C1" t="s">
        <v>20</v>
      </c>
      <c r="D1" t="s">
        <v>21</v>
      </c>
      <c r="E1" t="s">
        <v>19</v>
      </c>
      <c r="F1" t="s">
        <v>10</v>
      </c>
      <c r="G1" t="s">
        <v>18</v>
      </c>
      <c r="M1" t="s">
        <v>16</v>
      </c>
      <c r="N1" t="s">
        <v>17</v>
      </c>
      <c r="O1" t="s">
        <v>20</v>
      </c>
      <c r="P1" t="s">
        <v>21</v>
      </c>
      <c r="Q1" t="s">
        <v>19</v>
      </c>
      <c r="R1" t="s">
        <v>10</v>
      </c>
      <c r="S1" t="s">
        <v>18</v>
      </c>
    </row>
    <row r="2" spans="1:19">
      <c r="A2">
        <v>0.83</v>
      </c>
      <c r="B2">
        <v>63.2</v>
      </c>
      <c r="C2">
        <v>3.57</v>
      </c>
      <c r="D2">
        <v>636</v>
      </c>
      <c r="E2">
        <v>393.8</v>
      </c>
      <c r="F2">
        <v>7.47</v>
      </c>
      <c r="G2">
        <v>33.8</v>
      </c>
      <c r="M2">
        <v>0.21</v>
      </c>
      <c r="N2">
        <v>364</v>
      </c>
      <c r="O2">
        <v>5.43</v>
      </c>
      <c r="P2">
        <v>406</v>
      </c>
      <c r="Q2">
        <v>431.1</v>
      </c>
      <c r="R2">
        <v>8.437</v>
      </c>
      <c r="S2">
        <v>39.3</v>
      </c>
    </row>
    <row r="3" spans="1:19">
      <c r="A3">
        <v>0.81</v>
      </c>
      <c r="B3">
        <v>62.9</v>
      </c>
      <c r="C3">
        <v>3.22</v>
      </c>
      <c r="D3">
        <v>649</v>
      </c>
      <c r="E3" s="1">
        <v>394</v>
      </c>
      <c r="F3">
        <v>7.538</v>
      </c>
      <c r="G3">
        <v>32.3</v>
      </c>
      <c r="M3">
        <v>0.24</v>
      </c>
      <c r="N3">
        <v>361</v>
      </c>
      <c r="O3">
        <v>5.73</v>
      </c>
      <c r="P3">
        <v>397</v>
      </c>
      <c r="Q3">
        <v>433.5</v>
      </c>
      <c r="R3">
        <v>8.47</v>
      </c>
      <c r="S3">
        <v>36.9</v>
      </c>
    </row>
    <row r="4" spans="1:19">
      <c r="A4">
        <v>0.82</v>
      </c>
      <c r="B4">
        <v>72.9</v>
      </c>
      <c r="C4" s="2">
        <v>3.11</v>
      </c>
      <c r="D4">
        <v>635</v>
      </c>
      <c r="E4">
        <v>392.8</v>
      </c>
      <c r="F4">
        <v>7.521</v>
      </c>
      <c r="G4">
        <v>32</v>
      </c>
      <c r="M4">
        <v>0.25</v>
      </c>
      <c r="N4">
        <v>352</v>
      </c>
      <c r="O4" s="2">
        <v>5.25</v>
      </c>
      <c r="P4">
        <v>405</v>
      </c>
      <c r="Q4">
        <v>429.8</v>
      </c>
      <c r="R4">
        <v>8.465</v>
      </c>
      <c r="S4">
        <v>37.2</v>
      </c>
    </row>
    <row r="5" spans="1:19">
      <c r="A5">
        <f t="shared" ref="A5:G5" si="0">AVERAGE(A2:A4)</f>
        <v>0.82</v>
      </c>
      <c r="B5">
        <f t="shared" si="0"/>
        <v>66.3333333333333</v>
      </c>
      <c r="C5">
        <f t="shared" si="0"/>
        <v>3.3</v>
      </c>
      <c r="D5">
        <f t="shared" si="0"/>
        <v>640</v>
      </c>
      <c r="E5">
        <f t="shared" si="0"/>
        <v>393.533333333333</v>
      </c>
      <c r="F5">
        <f t="shared" si="0"/>
        <v>7.50966666666667</v>
      </c>
      <c r="G5">
        <f t="shared" si="0"/>
        <v>32.7</v>
      </c>
      <c r="M5">
        <f t="shared" ref="M5:S5" si="1">AVERAGE(M2:M4)</f>
        <v>0.233333333333333</v>
      </c>
      <c r="N5">
        <f t="shared" si="1"/>
        <v>359</v>
      </c>
      <c r="O5">
        <f t="shared" si="1"/>
        <v>5.47</v>
      </c>
      <c r="P5">
        <f t="shared" si="1"/>
        <v>402.666666666667</v>
      </c>
      <c r="Q5">
        <f t="shared" si="1"/>
        <v>431.466666666667</v>
      </c>
      <c r="R5">
        <f t="shared" si="1"/>
        <v>8.45733333333333</v>
      </c>
      <c r="S5">
        <f t="shared" si="1"/>
        <v>37.8</v>
      </c>
    </row>
    <row r="6" spans="1:19">
      <c r="A6">
        <f t="shared" ref="A6:G6" si="2">STDEVP(A2,A3,A4)</f>
        <v>0.00816496580927722</v>
      </c>
      <c r="B6">
        <f t="shared" si="2"/>
        <v>4.64494946749215</v>
      </c>
      <c r="C6">
        <f t="shared" si="2"/>
        <v>0.196129209111409</v>
      </c>
      <c r="D6">
        <f t="shared" si="2"/>
        <v>6.37704215656966</v>
      </c>
      <c r="E6">
        <f t="shared" si="2"/>
        <v>0.524933858267451</v>
      </c>
      <c r="F6">
        <f t="shared" si="2"/>
        <v>0.0288944439103593</v>
      </c>
      <c r="G6">
        <f t="shared" si="2"/>
        <v>0.78740078740118</v>
      </c>
      <c r="M6">
        <f t="shared" ref="M6:S6" si="3">STDEVP(M2,M3,M4)</f>
        <v>0.016996731711976</v>
      </c>
      <c r="N6">
        <f t="shared" si="3"/>
        <v>5.09901951359278</v>
      </c>
      <c r="O6">
        <f t="shared" si="3"/>
        <v>0.197989898732234</v>
      </c>
      <c r="P6">
        <f t="shared" si="3"/>
        <v>4.02768199119819</v>
      </c>
      <c r="Q6">
        <f t="shared" si="3"/>
        <v>1.53260852434301</v>
      </c>
      <c r="R6">
        <f t="shared" si="3"/>
        <v>0.0145220139405284</v>
      </c>
      <c r="S6">
        <f t="shared" si="3"/>
        <v>1.06770782520313</v>
      </c>
    </row>
    <row r="12" spans="1:7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f>AVERAGE(D15,D14)</f>
        <v>0.051864</v>
      </c>
      <c r="G12">
        <f>STDEVP(D15,D14)</f>
        <v>0.006299</v>
      </c>
    </row>
    <row r="13" spans="1:7">
      <c r="A13" s="3">
        <v>0.0056</v>
      </c>
      <c r="B13" s="3">
        <v>0.0034</v>
      </c>
      <c r="C13" s="3">
        <v>0.0099</v>
      </c>
      <c r="D13" s="3">
        <f>3*(12.21*A13-2.81*B13)</f>
        <v>0.176466</v>
      </c>
      <c r="E13" s="3">
        <f>3*(20.13*B13-5.03*A13)</f>
        <v>0.120822</v>
      </c>
      <c r="F13">
        <f>AVERAGE(E14,E15)</f>
        <v>0.024168</v>
      </c>
      <c r="G13">
        <f>STDEVP(E14,E15)</f>
        <v>0.012583</v>
      </c>
    </row>
    <row r="14" spans="1:7">
      <c r="A14" s="3">
        <v>0.0055</v>
      </c>
      <c r="B14" s="3">
        <v>0.0032</v>
      </c>
      <c r="C14" s="4">
        <v>0.0095</v>
      </c>
      <c r="D14" s="3">
        <f>12.21*A14-2.81*B14</f>
        <v>0.058163</v>
      </c>
      <c r="E14" s="3">
        <f>20.13*B14-5.03*A14</f>
        <v>0.036751</v>
      </c>
      <c r="F14" s="5"/>
      <c r="G14" s="5"/>
    </row>
    <row r="15" spans="1:5">
      <c r="A15" s="6">
        <v>0.0041</v>
      </c>
      <c r="B15">
        <v>0.0016</v>
      </c>
      <c r="C15">
        <v>0.0067</v>
      </c>
      <c r="D15">
        <f>12.21*A15-2.81*B15</f>
        <v>0.045565</v>
      </c>
      <c r="E15">
        <f>20.13*B15-5.03*A15</f>
        <v>0.011585</v>
      </c>
    </row>
    <row r="17" spans="15:21">
      <c r="O17" t="s">
        <v>22</v>
      </c>
      <c r="P17" t="s">
        <v>23</v>
      </c>
      <c r="Q17" t="s">
        <v>24</v>
      </c>
      <c r="R17" t="s">
        <v>25</v>
      </c>
      <c r="S17" t="s">
        <v>26</v>
      </c>
      <c r="T17">
        <f>AVERAGE(R18:R19)</f>
        <v>0.37266</v>
      </c>
      <c r="U17">
        <f>STDEVP(R18:R19)</f>
        <v>0.027138</v>
      </c>
    </row>
    <row r="18" spans="15:21">
      <c r="O18" s="3">
        <v>0.0134</v>
      </c>
      <c r="P18" s="3">
        <v>0.0108</v>
      </c>
      <c r="Q18" s="4">
        <v>0.017</v>
      </c>
      <c r="R18" s="3">
        <f>3*(12.21*O18-2.81*P18)</f>
        <v>0.399798</v>
      </c>
      <c r="S18" s="3">
        <f>3*(20.13*P18-5.03*O18)</f>
        <v>0.450006</v>
      </c>
      <c r="T18">
        <f>AVERAGE(S18:S19)</f>
        <v>0.475415</v>
      </c>
      <c r="U18">
        <f>STDEVP(S18:S19)</f>
        <v>0.0254089999999999</v>
      </c>
    </row>
    <row r="19" spans="15:21">
      <c r="O19" s="3">
        <v>0.0361</v>
      </c>
      <c r="P19" s="3">
        <v>0.0339</v>
      </c>
      <c r="Q19" s="4">
        <v>0.043</v>
      </c>
      <c r="R19" s="3">
        <f>12.21*O19-2.81*P19</f>
        <v>0.345522</v>
      </c>
      <c r="S19" s="3">
        <f>20.13*P19-5.03*O19</f>
        <v>0.500824</v>
      </c>
      <c r="T19" s="5"/>
      <c r="U19" s="5"/>
    </row>
    <row r="20" spans="15:19">
      <c r="O20" s="6">
        <v>0.0642</v>
      </c>
      <c r="P20">
        <v>0.0617</v>
      </c>
      <c r="Q20">
        <v>0.0734</v>
      </c>
      <c r="R20">
        <f>12.21*O20-2.81*P20</f>
        <v>0.610505</v>
      </c>
      <c r="S20">
        <f>20.13*P20-5.03*O20</f>
        <v>0.919095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K27" sqref="K27"/>
    </sheetView>
  </sheetViews>
  <sheetFormatPr defaultColWidth="8.72566371681416" defaultRowHeight="13.5"/>
  <cols>
    <col min="1" max="1" width="12.8141592920354"/>
    <col min="2" max="2" width="13.7256637168142" customWidth="1"/>
    <col min="3" max="3" width="20.7256637168142" customWidth="1"/>
    <col min="4" max="6" width="12.8141592920354"/>
    <col min="7" max="7" width="14.6371681415929" customWidth="1"/>
    <col min="8" max="8" width="26.3628318584071" customWidth="1"/>
    <col min="13" max="13" width="11.7256637168142"/>
    <col min="14" max="16" width="12.8141592920354"/>
    <col min="17" max="17" width="11.7256637168142"/>
    <col min="18" max="19" width="12.8141592920354"/>
  </cols>
  <sheetData>
    <row r="1" spans="1:8">
      <c r="A1" s="7" t="s">
        <v>0</v>
      </c>
      <c r="B1" s="8" t="s">
        <v>34</v>
      </c>
      <c r="C1" s="9"/>
      <c r="F1" s="7" t="s">
        <v>0</v>
      </c>
      <c r="G1" s="8" t="s">
        <v>34</v>
      </c>
      <c r="H1" s="9"/>
    </row>
    <row r="2" spans="1:8">
      <c r="A2" s="7" t="s">
        <v>2</v>
      </c>
      <c r="B2" s="8" t="s">
        <v>3</v>
      </c>
      <c r="C2" s="9"/>
      <c r="F2" s="7" t="s">
        <v>2</v>
      </c>
      <c r="G2" s="8" t="s">
        <v>29</v>
      </c>
      <c r="H2" s="9"/>
    </row>
    <row r="3" spans="1:8">
      <c r="A3" s="10" t="s">
        <v>4</v>
      </c>
      <c r="B3" s="10" t="s">
        <v>5</v>
      </c>
      <c r="C3" s="10" t="s">
        <v>6</v>
      </c>
      <c r="F3" s="10" t="s">
        <v>4</v>
      </c>
      <c r="G3" s="10" t="s">
        <v>5</v>
      </c>
      <c r="H3" s="10" t="s">
        <v>6</v>
      </c>
    </row>
    <row r="4" spans="1:8">
      <c r="A4" s="11" t="s">
        <v>7</v>
      </c>
      <c r="B4" s="12">
        <v>0.315</v>
      </c>
      <c r="C4" s="13">
        <v>0.0122474487139159</v>
      </c>
      <c r="F4" s="11" t="s">
        <v>7</v>
      </c>
      <c r="G4" s="12">
        <v>0.586666666666667</v>
      </c>
      <c r="H4" s="13">
        <v>0.00942809041582064</v>
      </c>
    </row>
    <row r="5" spans="1:8">
      <c r="A5" s="11" t="s">
        <v>8</v>
      </c>
      <c r="B5" s="12">
        <v>162</v>
      </c>
      <c r="C5" s="13">
        <v>6.97614984548545</v>
      </c>
      <c r="F5" s="11" t="s">
        <v>8</v>
      </c>
      <c r="G5" s="12">
        <v>112.666666666667</v>
      </c>
      <c r="H5" s="13">
        <v>2.05480466765633</v>
      </c>
    </row>
    <row r="6" spans="1:8">
      <c r="A6" s="11" t="s">
        <v>9</v>
      </c>
      <c r="B6" s="12">
        <v>32.8</v>
      </c>
      <c r="C6" s="13">
        <v>0.294392028877596</v>
      </c>
      <c r="F6" s="11" t="s">
        <v>9</v>
      </c>
      <c r="G6" s="12">
        <v>33.9333333333333</v>
      </c>
      <c r="H6" s="13">
        <v>0.24944382578493</v>
      </c>
    </row>
    <row r="7" spans="1:8">
      <c r="A7" s="11" t="s">
        <v>10</v>
      </c>
      <c r="B7" s="12">
        <v>7.73566666666667</v>
      </c>
      <c r="C7" s="13">
        <v>0.0102089285540755</v>
      </c>
      <c r="F7" s="11" t="s">
        <v>10</v>
      </c>
      <c r="G7" s="12">
        <v>7.63566666666667</v>
      </c>
      <c r="H7" s="13">
        <v>0.0158605030044938</v>
      </c>
    </row>
    <row r="8" spans="1:8">
      <c r="A8" s="11" t="s">
        <v>11</v>
      </c>
      <c r="B8" s="14">
        <v>422.323333333333</v>
      </c>
      <c r="C8" s="15">
        <v>2.90610086236218</v>
      </c>
      <c r="F8" s="11" t="s">
        <v>11</v>
      </c>
      <c r="G8" s="14">
        <v>399.206666666667</v>
      </c>
      <c r="H8" s="15">
        <v>5.44515891003702</v>
      </c>
    </row>
    <row r="9" spans="1:8">
      <c r="A9" s="11" t="s">
        <v>12</v>
      </c>
      <c r="B9" s="12">
        <v>3.55333333333333</v>
      </c>
      <c r="C9" s="13">
        <v>0.315946549628608</v>
      </c>
      <c r="F9" s="11" t="s">
        <v>12</v>
      </c>
      <c r="G9" s="12">
        <v>4.94333333333333</v>
      </c>
      <c r="H9" s="13">
        <v>1.48748856204753</v>
      </c>
    </row>
    <row r="10" spans="1:8">
      <c r="A10" s="11" t="s">
        <v>13</v>
      </c>
      <c r="B10" s="12">
        <v>386</v>
      </c>
      <c r="C10" s="13">
        <v>11.3431330181157</v>
      </c>
      <c r="F10" s="11" t="s">
        <v>13</v>
      </c>
      <c r="G10" s="12">
        <v>459.666666666667</v>
      </c>
      <c r="H10" s="13">
        <v>29.6010510323911</v>
      </c>
    </row>
    <row r="11" spans="1:8">
      <c r="A11" s="11" t="s">
        <v>14</v>
      </c>
      <c r="B11" s="12">
        <v>0.149589</v>
      </c>
      <c r="C11" s="12">
        <v>0.094898</v>
      </c>
      <c r="F11" s="11" t="s">
        <v>14</v>
      </c>
      <c r="G11" s="12">
        <v>0.150004</v>
      </c>
      <c r="H11" s="13">
        <v>0.072044</v>
      </c>
    </row>
    <row r="12" spans="1:8">
      <c r="A12" s="11" t="s">
        <v>15</v>
      </c>
      <c r="B12" s="12">
        <v>0.0513405</v>
      </c>
      <c r="C12" s="12">
        <v>0.00730850000000001</v>
      </c>
      <c r="F12" s="11" t="s">
        <v>15</v>
      </c>
      <c r="G12" s="12">
        <v>0</v>
      </c>
      <c r="H12" s="13">
        <v>0</v>
      </c>
    </row>
    <row r="13" spans="7:8">
      <c r="G13" s="16"/>
      <c r="H13" s="17"/>
    </row>
    <row r="19" spans="11:11">
      <c r="K19" t="s">
        <v>35</v>
      </c>
    </row>
  </sheetData>
  <mergeCells count="4">
    <mergeCell ref="B1:C1"/>
    <mergeCell ref="G1:H1"/>
    <mergeCell ref="B2:C2"/>
    <mergeCell ref="G2:H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workbookViewId="0">
      <selection activeCell="T17" sqref="T17:U17"/>
    </sheetView>
  </sheetViews>
  <sheetFormatPr defaultColWidth="8.72566371681416" defaultRowHeight="13.5"/>
  <cols>
    <col min="6" max="6" width="10.5486725663717"/>
    <col min="7" max="7" width="12.8141592920354"/>
    <col min="13" max="13" width="12.8141592920354"/>
    <col min="19" max="19" width="10.5486725663717"/>
  </cols>
  <sheetData>
    <row r="1" spans="1:19">
      <c r="A1" t="s">
        <v>16</v>
      </c>
      <c r="B1" t="s">
        <v>17</v>
      </c>
      <c r="C1" t="s">
        <v>20</v>
      </c>
      <c r="D1" t="s">
        <v>21</v>
      </c>
      <c r="E1" t="s">
        <v>19</v>
      </c>
      <c r="F1" t="s">
        <v>10</v>
      </c>
      <c r="G1" t="s">
        <v>18</v>
      </c>
      <c r="M1" t="s">
        <v>16</v>
      </c>
      <c r="N1" t="s">
        <v>17</v>
      </c>
      <c r="O1" t="s">
        <v>20</v>
      </c>
      <c r="P1" t="s">
        <v>21</v>
      </c>
      <c r="Q1" t="s">
        <v>19</v>
      </c>
      <c r="R1" t="s">
        <v>10</v>
      </c>
      <c r="S1" t="s">
        <v>18</v>
      </c>
    </row>
    <row r="2" spans="1:19">
      <c r="A2">
        <v>0.3</v>
      </c>
      <c r="B2">
        <v>153</v>
      </c>
      <c r="C2">
        <v>4</v>
      </c>
      <c r="D2">
        <v>402</v>
      </c>
      <c r="E2">
        <v>425.45</v>
      </c>
      <c r="F2">
        <v>7.73</v>
      </c>
      <c r="G2">
        <v>32.4</v>
      </c>
      <c r="M2">
        <v>0.58</v>
      </c>
      <c r="N2">
        <v>110</v>
      </c>
      <c r="O2">
        <v>4.25</v>
      </c>
      <c r="P2">
        <v>418</v>
      </c>
      <c r="Q2">
        <v>406.9</v>
      </c>
      <c r="R2">
        <v>7.631</v>
      </c>
      <c r="S2">
        <v>33.6</v>
      </c>
    </row>
    <row r="3" spans="1:19">
      <c r="A3">
        <v>0.315</v>
      </c>
      <c r="B3">
        <v>163</v>
      </c>
      <c r="C3">
        <v>3.34</v>
      </c>
      <c r="D3">
        <v>377</v>
      </c>
      <c r="E3" s="1">
        <v>423.07</v>
      </c>
      <c r="F3">
        <v>7.75</v>
      </c>
      <c r="G3">
        <v>32.9</v>
      </c>
      <c r="M3">
        <v>0.58</v>
      </c>
      <c r="N3">
        <v>115</v>
      </c>
      <c r="O3">
        <v>3.57</v>
      </c>
      <c r="P3">
        <v>484</v>
      </c>
      <c r="Q3">
        <v>395.65</v>
      </c>
      <c r="R3">
        <v>7.657</v>
      </c>
      <c r="S3">
        <v>34</v>
      </c>
    </row>
    <row r="4" spans="1:19">
      <c r="A4">
        <v>0.33</v>
      </c>
      <c r="B4">
        <v>170</v>
      </c>
      <c r="C4" s="2">
        <v>3.32</v>
      </c>
      <c r="D4">
        <v>379</v>
      </c>
      <c r="E4">
        <v>418.45</v>
      </c>
      <c r="F4">
        <v>7.727</v>
      </c>
      <c r="G4">
        <v>33.1</v>
      </c>
      <c r="M4" s="2">
        <v>0.6</v>
      </c>
      <c r="N4">
        <v>113</v>
      </c>
      <c r="O4" s="2">
        <v>7.01</v>
      </c>
      <c r="P4">
        <v>477</v>
      </c>
      <c r="Q4">
        <v>395.07</v>
      </c>
      <c r="R4">
        <v>7.619</v>
      </c>
      <c r="S4">
        <v>34.2</v>
      </c>
    </row>
    <row r="5" spans="1:19">
      <c r="A5">
        <f t="shared" ref="A5:G5" si="0">AVERAGE(A2:A4)</f>
        <v>0.315</v>
      </c>
      <c r="B5">
        <f t="shared" si="0"/>
        <v>162</v>
      </c>
      <c r="C5">
        <f t="shared" si="0"/>
        <v>3.55333333333333</v>
      </c>
      <c r="D5">
        <f t="shared" si="0"/>
        <v>386</v>
      </c>
      <c r="E5">
        <f t="shared" si="0"/>
        <v>422.323333333333</v>
      </c>
      <c r="F5">
        <f t="shared" si="0"/>
        <v>7.73566666666667</v>
      </c>
      <c r="G5">
        <f t="shared" si="0"/>
        <v>32.8</v>
      </c>
      <c r="M5">
        <f t="shared" ref="M5:S5" si="1">AVERAGE(M2:M4)</f>
        <v>0.586666666666667</v>
      </c>
      <c r="N5">
        <f t="shared" si="1"/>
        <v>112.666666666667</v>
      </c>
      <c r="O5">
        <f t="shared" si="1"/>
        <v>4.94333333333333</v>
      </c>
      <c r="P5">
        <f t="shared" si="1"/>
        <v>459.666666666667</v>
      </c>
      <c r="Q5">
        <f t="shared" si="1"/>
        <v>399.206666666667</v>
      </c>
      <c r="R5">
        <f t="shared" si="1"/>
        <v>7.63566666666667</v>
      </c>
      <c r="S5">
        <f t="shared" si="1"/>
        <v>33.9333333333333</v>
      </c>
    </row>
    <row r="6" spans="1:19">
      <c r="A6">
        <f t="shared" ref="A6:G6" si="2">STDEVP(A2,A3,A4)</f>
        <v>0.0122474487139159</v>
      </c>
      <c r="B6">
        <f t="shared" si="2"/>
        <v>6.97614984548545</v>
      </c>
      <c r="C6">
        <f t="shared" si="2"/>
        <v>0.315946549628608</v>
      </c>
      <c r="D6">
        <f t="shared" si="2"/>
        <v>11.3431330181157</v>
      </c>
      <c r="E6">
        <f t="shared" si="2"/>
        <v>2.90610086236218</v>
      </c>
      <c r="F6">
        <f t="shared" si="2"/>
        <v>0.0102089285540755</v>
      </c>
      <c r="G6">
        <f t="shared" si="2"/>
        <v>0.294392028877596</v>
      </c>
      <c r="M6">
        <f t="shared" ref="M6:S6" si="3">STDEVP(M2,M3,M4)</f>
        <v>0.00942809041582064</v>
      </c>
      <c r="N6">
        <f t="shared" si="3"/>
        <v>2.05480466765633</v>
      </c>
      <c r="O6">
        <f t="shared" si="3"/>
        <v>1.48748856204753</v>
      </c>
      <c r="P6">
        <f t="shared" si="3"/>
        <v>29.6010510323911</v>
      </c>
      <c r="Q6">
        <f t="shared" si="3"/>
        <v>5.44515891003702</v>
      </c>
      <c r="R6">
        <f t="shared" si="3"/>
        <v>0.0158605030044938</v>
      </c>
      <c r="S6">
        <f t="shared" si="3"/>
        <v>0.24944382578493</v>
      </c>
    </row>
    <row r="12" spans="1:7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f>AVERAGE(D15,D13)</f>
        <v>0.149589</v>
      </c>
      <c r="G12">
        <f>STDEVP(D13:D14)</f>
        <v>0.0513405</v>
      </c>
    </row>
    <row r="13" spans="1:7">
      <c r="A13" s="3">
        <v>0.0052</v>
      </c>
      <c r="B13" s="3">
        <v>0.0023</v>
      </c>
      <c r="C13" s="3">
        <v>0.0081</v>
      </c>
      <c r="D13" s="3">
        <f>3*(12.21*A13-2.81*B13)</f>
        <v>0.171087</v>
      </c>
      <c r="E13" s="3">
        <f>3*(20.13*B13-5.03*A13)</f>
        <v>0.060429</v>
      </c>
      <c r="F13">
        <f>AVERAGE(E13,E15)</f>
        <v>0.094898</v>
      </c>
      <c r="G13">
        <f>STDEVP(E13:E14)</f>
        <v>0.00730850000000001</v>
      </c>
    </row>
    <row r="14" spans="1:7">
      <c r="A14" s="3">
        <v>0.0065</v>
      </c>
      <c r="B14" s="3">
        <v>0.0039</v>
      </c>
      <c r="C14" s="4">
        <v>0.0086</v>
      </c>
      <c r="D14" s="3">
        <f>12.21*A14-2.81*B14</f>
        <v>0.068406</v>
      </c>
      <c r="E14" s="3">
        <f>20.13*B14-5.03*A14</f>
        <v>0.045812</v>
      </c>
      <c r="F14" s="5"/>
      <c r="G14" s="5"/>
    </row>
    <row r="15" spans="1:5">
      <c r="A15" s="6">
        <v>0.0127</v>
      </c>
      <c r="B15">
        <v>0.0096</v>
      </c>
      <c r="C15">
        <v>0.0158</v>
      </c>
      <c r="D15">
        <f>12.21*A15-2.81*B15</f>
        <v>0.128091</v>
      </c>
      <c r="E15">
        <f>20.13*B15-5.03*A15</f>
        <v>0.129367</v>
      </c>
    </row>
    <row r="17" spans="15:21">
      <c r="O17" t="s">
        <v>22</v>
      </c>
      <c r="P17" t="s">
        <v>23</v>
      </c>
      <c r="Q17" t="s">
        <v>24</v>
      </c>
      <c r="R17" t="s">
        <v>25</v>
      </c>
      <c r="S17" t="s">
        <v>26</v>
      </c>
      <c r="T17">
        <f>AVERAGE(R18:R19)</f>
        <v>0.150004</v>
      </c>
      <c r="U17">
        <f>STDEVP(R18:R19)</f>
        <v>0.072044</v>
      </c>
    </row>
    <row r="18" spans="15:21">
      <c r="O18" s="3">
        <v>0.0062</v>
      </c>
      <c r="P18" s="3">
        <v>0.0006</v>
      </c>
      <c r="Q18" s="4">
        <v>0.0096</v>
      </c>
      <c r="R18" s="3">
        <f>3*(12.21*O18-2.81*P18)</f>
        <v>0.222048</v>
      </c>
      <c r="S18" s="3">
        <f>3*(20.13*P18-5.03*O18)</f>
        <v>-0.057324</v>
      </c>
      <c r="T18">
        <f>AVERAGE(S18:S19)</f>
        <v>-0.039977</v>
      </c>
      <c r="U18">
        <f>STDEVP(S18:S19)</f>
        <v>0.017347</v>
      </c>
    </row>
    <row r="19" spans="15:21">
      <c r="O19" s="3">
        <v>0.0065</v>
      </c>
      <c r="P19" s="3">
        <v>0.0005</v>
      </c>
      <c r="Q19" s="4">
        <v>0.0103</v>
      </c>
      <c r="R19" s="3">
        <f>12.21*O19-2.81*P19</f>
        <v>0.07796</v>
      </c>
      <c r="S19" s="3">
        <f>20.13*P19-5.03*O19</f>
        <v>-0.02263</v>
      </c>
      <c r="T19" s="5"/>
      <c r="U19" s="5"/>
    </row>
    <row r="20" spans="15:19">
      <c r="O20" s="6">
        <v>0.0059</v>
      </c>
      <c r="P20">
        <v>0.0006</v>
      </c>
      <c r="Q20">
        <v>0.0097</v>
      </c>
      <c r="R20">
        <f>12.21*O20-2.81*P20</f>
        <v>0.070353</v>
      </c>
      <c r="S20">
        <f>20.13*P20-5.03*O20</f>
        <v>-0.017599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66371681416" defaultRowHeight="13.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66371681416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7.13</vt:lpstr>
      <vt:lpstr>Sheet2</vt:lpstr>
      <vt:lpstr>7.21</vt:lpstr>
      <vt:lpstr>Sheet1</vt:lpstr>
      <vt:lpstr>7.27</vt:lpstr>
      <vt:lpstr>Sheet4</vt:lpstr>
      <vt:lpstr>7.31</vt:lpstr>
      <vt:lpstr>Sheet5</vt:lpstr>
      <vt:lpstr>8.1</vt:lpstr>
      <vt:lpstr>Sheet7</vt:lpstr>
      <vt:lpstr>8.3</vt:lpstr>
      <vt:lpstr>Sheet9</vt:lpstr>
      <vt:lpstr>8.10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陈艳琦</dc:creator>
  <cp:lastModifiedBy>陈鲲鹏</cp:lastModifiedBy>
  <dcterms:created xsi:type="dcterms:W3CDTF">2023-05-12T11:15:00Z</dcterms:created>
  <dcterms:modified xsi:type="dcterms:W3CDTF">2026-08-16T15:33:51Z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5C61AE8068754A5CB19EAD2A4F6CA4A6_13</vt:lpwstr>
  </property>
  <property fmtid="{D5CDD505-2E9C-101B-9397-08002B2CF9AE}" pid="4" name="CalculationRule">
    <vt:i4>0</vt:i4>
  </property>
</Properties>
</file>